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uynpde180519\fpt\swt\Test\Labs\Exercise6\"/>
    </mc:Choice>
  </mc:AlternateContent>
  <xr:revisionPtr revIDLastSave="0" documentId="8_{548381C6-8745-45B8-96B1-3FCA74AD13FE}" xr6:coauthVersionLast="47" xr6:coauthVersionMax="47" xr10:uidLastSave="{00000000-0000-0000-0000-000000000000}"/>
  <bookViews>
    <workbookView xWindow="38280" yWindow="3510" windowWidth="29040" windowHeight="15720" activeTab="1" xr2:uid="{5BC932B1-9F67-461C-BF32-316D5060E7A4}"/>
  </bookViews>
  <sheets>
    <sheet name="Overview" sheetId="2" r:id="rId1"/>
    <sheet name="Test Cases" sheetId="1" r:id="rId2"/>
  </sheets>
  <definedNames>
    <definedName name="_xlnm._FilterDatabase" localSheetId="1" hidden="1">'Test Cases'!$A$1:$J$28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</calcChain>
</file>

<file path=xl/sharedStrings.xml><?xml version="1.0" encoding="utf-8"?>
<sst xmlns="http://schemas.openxmlformats.org/spreadsheetml/2006/main" count="278" uniqueCount="191">
  <si>
    <t>System Test Report - Exercise 6 (Login and Register)</t>
  </si>
  <si>
    <t>Project / Module</t>
  </si>
  <si>
    <t>MiniSocialNetwork - Account (Login, Register)</t>
  </si>
  <si>
    <t>Test Environment</t>
  </si>
  <si>
    <t>Staging (Localhost), URL: https://localhost:7009, Browser: Chrome 142, OS: Windows 11</t>
  </si>
  <si>
    <t>Tester</t>
  </si>
  <si>
    <t>Nguyen Phan Huy (DE180519)</t>
  </si>
  <si>
    <t>Test Execution Start</t>
  </si>
  <si>
    <t>08-Mar-2026 23:10 (GMT+7)</t>
  </si>
  <si>
    <t>Test Execution End</t>
  </si>
  <si>
    <t>08-Mar-2026 23:11 (GMT+7)</t>
  </si>
  <si>
    <t>Automation Framework</t>
  </si>
  <si>
    <t>Selenium WebDriver + JUnit 5 + Maven + WebDriverManager</t>
  </si>
  <si>
    <t>Summary</t>
  </si>
  <si>
    <t>Total Test Cases</t>
  </si>
  <si>
    <t>Pass</t>
  </si>
  <si>
    <t>Fail</t>
  </si>
  <si>
    <t>Blocked</t>
  </si>
  <si>
    <t>Untested</t>
  </si>
  <si>
    <t>Build Result</t>
  </si>
  <si>
    <t>BUILD SUCCESS</t>
  </si>
  <si>
    <t>Execution Evidence</t>
  </si>
  <si>
    <t>Tests run: 28, Failures: 0, Errors: 0, Skipped: 0</t>
  </si>
  <si>
    <t>Notes</t>
  </si>
  <si>
    <t>27 system test cases for Login and Register passed.</t>
  </si>
  <si>
    <t>Test Case ID</t>
  </si>
  <si>
    <t>Module / Feature</t>
  </si>
  <si>
    <t>Objective / Description</t>
  </si>
  <si>
    <t>Pre-conditions</t>
  </si>
  <si>
    <t>Test Steps</t>
  </si>
  <si>
    <t>Expected Result</t>
  </si>
  <si>
    <t>Actual Result</t>
  </si>
  <si>
    <t>Status</t>
  </si>
  <si>
    <t>Bug ID / Jira Link</t>
  </si>
  <si>
    <t>TC_LOGIN_001</t>
  </si>
  <si>
    <t>Login</t>
  </si>
  <si>
    <t>Verify login with valid credentials</t>
  </si>
  <si>
    <t>Application is running at https://localhost:7009; Valid account exists (phanhuy/1234567).</t>
  </si>
  <si>
    <t>1. Open /Account/Login
2. Enter valid username and password
3. Click Login</t>
  </si>
  <si>
    <t>User is redirected away from /Account/Login after successful authentication.</t>
  </si>
  <si>
    <t>Redirected away from /Account/Login as expected.</t>
  </si>
  <si>
    <t>Automated: LoginTest.testLoginSuccess</t>
  </si>
  <si>
    <t>TC_LOGIN_002</t>
  </si>
  <si>
    <t>Verify login failure with invalid credentials</t>
  </si>
  <si>
    <t>Application is running; Login page is accessible.</t>
  </si>
  <si>
    <t>1. Open /Account/Login
2. Enter wrong username/password
3. Click Login</t>
  </si>
  <si>
    <t>Error message is displayed and login is rejected.</t>
  </si>
  <si>
    <t>Invalid credential message displayed; login rejected.</t>
  </si>
  <si>
    <t>Automated: LoginTest.testLoginFail</t>
  </si>
  <si>
    <t>TC_LOGIN_003</t>
  </si>
  <si>
    <t>Verify validation when username and password are empty</t>
  </si>
  <si>
    <t>1. Open /Account/Login
2. Leave username and password blank
3. Click Login</t>
  </si>
  <si>
    <t>Form submission is blocked by validation; user remains on login page.</t>
  </si>
  <si>
    <t>Submission blocked; remained on login page.</t>
  </si>
  <si>
    <t>Automated: LoginTest.testLoginEmptyCredentials</t>
  </si>
  <si>
    <t>TC_LOGIN_004</t>
  </si>
  <si>
    <t>CSV Inline case #1 - valid credentials (phanhuy/1234567)</t>
  </si>
  <si>
    <t>Application is running; Valid account exists.</t>
  </si>
  <si>
    <t>1. Open /Account/Login
2. Input dataset #1 from @CsvSource
3. Submit</t>
  </si>
  <si>
    <t>Login succeeds and user leaves login page.</t>
  </si>
  <si>
    <t>Case passed; redirect behavior matched expectation.</t>
  </si>
  <si>
    <t>Automated: LoginTest.testLoginCsvInline [1]</t>
  </si>
  <si>
    <t>TC_LOGIN_005</t>
  </si>
  <si>
    <t>CSV Inline case #2 - wrong user / valid format password</t>
  </si>
  <si>
    <t>1. Open /Account/Login
2. Input dataset #2 from @CsvSource
3. Submit</t>
  </si>
  <si>
    <t>Login fails and error is shown.</t>
  </si>
  <si>
    <t>Case passed; error message displayed.</t>
  </si>
  <si>
    <t>Automated: LoginTest.testLoginCsvInline [2]</t>
  </si>
  <si>
    <t>TC_LOGIN_006</t>
  </si>
  <si>
    <t>CSV Inline case #3 - email username with wrong password</t>
  </si>
  <si>
    <t>1. Open /Account/Login
2. Input dataset #3 from @CsvSource
3. Submit</t>
  </si>
  <si>
    <t>Case passed; invalid login feedback displayed.</t>
  </si>
  <si>
    <t>Automated: LoginTest.testLoginCsvInline [3]</t>
  </si>
  <si>
    <t>TC_LOGIN_007</t>
  </si>
  <si>
    <t>CSV Inline case #4 - EMPTY username and password</t>
  </si>
  <si>
    <t>1. Open /Account/Login
2. Input EMPTY values from @CsvSource
3. Submit</t>
  </si>
  <si>
    <t>HTML5 validation prevents submit; still on login page.</t>
  </si>
  <si>
    <t>Case passed; submission prevented as expected.</t>
  </si>
  <si>
    <t>Automated: LoginTest.testLoginCsvInline [4]</t>
  </si>
  <si>
    <t>TC_LOGIN_008</t>
  </si>
  <si>
    <t>CSV File case #1 - phanhuy/1234567 (success)</t>
  </si>
  <si>
    <t>Application is running; login-data.csv is loaded; valid account exists.</t>
  </si>
  <si>
    <t>1. Open /Account/Login
2. Read dataset #1 from login-data.csv
3. Submit</t>
  </si>
  <si>
    <t>Case passed with successful redirect.</t>
  </si>
  <si>
    <t>Automated: LoginTest.testLoginFromCSV [1]</t>
  </si>
  <si>
    <t>TC_LOGIN_009</t>
  </si>
  <si>
    <t>CSV File case #2 - invalidUser/wrongPass (error)</t>
  </si>
  <si>
    <t>Application is running; login-data.csv is loaded.</t>
  </si>
  <si>
    <t>1. Open /Account/Login
2. Read dataset #2 from login-data.csv
3. Submit</t>
  </si>
  <si>
    <t>Case passed; error shown for invalid credentials.</t>
  </si>
  <si>
    <t>Automated: LoginTest.testLoginFromCSV [2]</t>
  </si>
  <si>
    <t>TC_LOGIN_010</t>
  </si>
  <si>
    <t>CSV File case #3 - admin/12345 (error)</t>
  </si>
  <si>
    <t>1. Open /Account/Login
2. Read dataset #3 from login-data.csv
3. Submit</t>
  </si>
  <si>
    <t>Case passed; invalid login handled correctly.</t>
  </si>
  <si>
    <t>Automated: LoginTest.testLoginFromCSV [3]</t>
  </si>
  <si>
    <t>TC_LOGIN_011</t>
  </si>
  <si>
    <t>CSV File case #4 - test@test.com/Password123! (error)</t>
  </si>
  <si>
    <t>1. Open /Account/Login
2. Read dataset #4 from login-data.csv
3. Submit</t>
  </si>
  <si>
    <t>Case passed; error behavior matched expectation.</t>
  </si>
  <si>
    <t>Automated: LoginTest.testLoginFromCSV [4]</t>
  </si>
  <si>
    <t>TC_REG_001</t>
  </si>
  <si>
    <t>Register</t>
  </si>
  <si>
    <t>Verify successful registration with valid data</t>
  </si>
  <si>
    <t>Application is running; Register page is accessible.</t>
  </si>
  <si>
    <t>1. Open /Account/Register
2. Enter unique valid user data
3. Click Sign Up</t>
  </si>
  <si>
    <t>Registration succeeds and user is redirected to /Account/Login.</t>
  </si>
  <si>
    <t>Redirected to /Account/Login after submission.</t>
  </si>
  <si>
    <t>Automated: RegisterTest.testRegisterSuccess</t>
  </si>
  <si>
    <t>TC_REG_002</t>
  </si>
  <si>
    <t>Verify validation when password and confirm password mismatch</t>
  </si>
  <si>
    <t>1. Open /Account/Register
2. Enter mismatched passwords
3. Click Sign Up</t>
  </si>
  <si>
    <t>Validation error is displayed; registration is not completed.</t>
  </si>
  <si>
    <t>Validation error displayed as expected.</t>
  </si>
  <si>
    <t>Automated: RegisterTest.testRegisterPasswordMismatch</t>
  </si>
  <si>
    <t>TC_REG_003</t>
  </si>
  <si>
    <t>Verify validation for weak password</t>
  </si>
  <si>
    <t>1. Open /Account/Register
2. Enter weak password (123)
3. Click Sign Up</t>
  </si>
  <si>
    <t>Validation error is displayed for weak password.</t>
  </si>
  <si>
    <t>Weak password validation triggered correctly.</t>
  </si>
  <si>
    <t>Automated: RegisterTest.testRegisterWeakPassword</t>
  </si>
  <si>
    <t>TC_REG_004</t>
  </si>
  <si>
    <t>Verify validation when required fields are empty</t>
  </si>
  <si>
    <t>1. Open /Account/Register
2. Leave required fields empty
3. Click Sign Up</t>
  </si>
  <si>
    <t>Submission is blocked and user remains on register page.</t>
  </si>
  <si>
    <t>Submission blocked; remained on register page.</t>
  </si>
  <si>
    <t>Automated: RegisterTest.testRegisterEmptyFields</t>
  </si>
  <si>
    <t>TC_REG_005</t>
  </si>
  <si>
    <t>CSV Inline case #1 - valid registration data (success)</t>
  </si>
  <si>
    <t>1. Open /Account/Register
2. Input dataset #1 from @CsvSource
3. Submit</t>
  </si>
  <si>
    <t>Registration succeeds and redirects to login page.</t>
  </si>
  <si>
    <t>Automated: RegisterTest.testRegisterCsvInline [1]</t>
  </si>
  <si>
    <t>TC_REG_006</t>
  </si>
  <si>
    <t>CSV Inline case #2 - EMPTY username (error)</t>
  </si>
  <si>
    <t>1. Open /Account/Register
2. Input dataset #2 from @CsvSource
3. Submit</t>
  </si>
  <si>
    <t>Submission is blocked due to missing username.</t>
  </si>
  <si>
    <t>Case passed; missing username handled correctly.</t>
  </si>
  <si>
    <t>Automated: RegisterTest.testRegisterCsvInline [2]</t>
  </si>
  <si>
    <t>TC_REG_007</t>
  </si>
  <si>
    <t>CSV Inline case #3 - EMPTY email (error)</t>
  </si>
  <si>
    <t>1. Open /Account/Register
2. Input dataset #3 from @CsvSource
3. Submit</t>
  </si>
  <si>
    <t>Submission is blocked due to missing email.</t>
  </si>
  <si>
    <t>Case passed; missing email handled correctly.</t>
  </si>
  <si>
    <t>Automated: RegisterTest.testRegisterCsvInline [3]</t>
  </si>
  <si>
    <t>TC_REG_008</t>
  </si>
  <si>
    <t>CSV Inline case #4 - short password (error)</t>
  </si>
  <si>
    <t>1. Open /Account/Register
2. Input dataset #4 from @CsvSource
3. Submit</t>
  </si>
  <si>
    <t>Validation error is shown for weak password.</t>
  </si>
  <si>
    <t>Case passed; weak password validation displayed.</t>
  </si>
  <si>
    <t>Automated: RegisterTest.testRegisterCsvInline [4]</t>
  </si>
  <si>
    <t>TC_REG_009</t>
  </si>
  <si>
    <t>CSV Inline case #5 - password mismatch (error)</t>
  </si>
  <si>
    <t>1. Open /Account/Register
2. Input dataset #5 from @CsvSource
3. Submit</t>
  </si>
  <si>
    <t>Validation error is shown for password mismatch.</t>
  </si>
  <si>
    <t>Case passed; mismatch validation shown.</t>
  </si>
  <si>
    <t>Automated: RegisterTest.testRegisterCsvInline [5]</t>
  </si>
  <si>
    <t>TC_REG_010</t>
  </si>
  <si>
    <t>CSV Inline case #6 - invalid email format (error)</t>
  </si>
  <si>
    <t>1. Open /Account/Register
2. Input dataset #6 from @CsvSource
3. Submit</t>
  </si>
  <si>
    <t>Validation error is shown for invalid email format.</t>
  </si>
  <si>
    <t>Case passed; invalid email rejected.</t>
  </si>
  <si>
    <t>Automated: RegisterTest.testRegisterCsvInline [6]</t>
  </si>
  <si>
    <t>TC_REG_011</t>
  </si>
  <si>
    <t>CSV File case #1 - newuser/newuser@example.com (success)</t>
  </si>
  <si>
    <t>Application is running; register-data.csv is loaded.</t>
  </si>
  <si>
    <t>1. Open /Account/Register
2. Read dataset #1 from register-data.csv
3. Submit</t>
  </si>
  <si>
    <t>Automated: RegisterTest.testRegisterFromCSV [1]</t>
  </si>
  <si>
    <t>TC_REG_012</t>
  </si>
  <si>
    <t>CSV File case #2 - empty username (error)</t>
  </si>
  <si>
    <t>1. Open /Account/Register
2. Read dataset #2 from register-data.csv
3. Submit</t>
  </si>
  <si>
    <t>Case passed; missing username prevented submission.</t>
  </si>
  <si>
    <t>Automated: RegisterTest.testRegisterFromCSV [2]</t>
  </si>
  <si>
    <t>TC_REG_013</t>
  </si>
  <si>
    <t>CSV File case #3 - empty email (error)</t>
  </si>
  <si>
    <t>1. Open /Account/Register
2. Read dataset #3 from register-data.csv
3. Submit</t>
  </si>
  <si>
    <t>Case passed; missing email prevented submission.</t>
  </si>
  <si>
    <t>Automated: RegisterTest.testRegisterFromCSV [3]</t>
  </si>
  <si>
    <t>TC_REG_014</t>
  </si>
  <si>
    <t>CSV File case #4 - weak password (error)</t>
  </si>
  <si>
    <t>1. Open /Account/Register
2. Read dataset #4 from register-data.csv
3. Submit</t>
  </si>
  <si>
    <t>Case passed; weak password rejected.</t>
  </si>
  <si>
    <t>Automated: RegisterTest.testRegisterFromCSV [4]</t>
  </si>
  <si>
    <t>TC_REG_015</t>
  </si>
  <si>
    <t>CSV File case #5 - password mismatch (error)</t>
  </si>
  <si>
    <t>1. Open /Account/Register
2. Read dataset #5 from register-data.csv
3. Submit</t>
  </si>
  <si>
    <t>Case passed; mismatch validation displayed.</t>
  </si>
  <si>
    <t>Automated: RegisterTest.testRegisterFromCSV [5]</t>
  </si>
  <si>
    <t>TC_REG_016</t>
  </si>
  <si>
    <t>CSV File case #6 - invalid email format (error)</t>
  </si>
  <si>
    <t>1. Open /Account/Register
2. Read dataset #6 from register-data.csv
3. Submit</t>
  </si>
  <si>
    <t>Automated: RegisterTest.testRegisterFromCSV [6]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</si>
</sst>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6C7E-DC6A-40B8-A6F4-DDE8BE9F70FD}">
  <dimension ref="A1:D19"/>
  <sheetViews>
    <sheetView workbookViewId="0"/>
  </sheetViews>
  <sheetFormatPr defaultRowHeight="14" x14ac:dyDescent="0.3"/>
  <cols>
    <col min="1" max="1" width="24.58203125" customWidth="1"/>
    <col min="2" max="2" width="95.58203125" customWidth="1"/>
    <col min="3" max="4" width="2.58203125" customWidth="1"/>
  </cols>
  <sheetData>
    <row r="1" spans="1:4" ht="18" x14ac:dyDescent="0.4">
      <c r="A1" s="2" t="s">
        <v>0</v>
      </c>
      <c r="B1" s="1"/>
      <c r="C1" s="1"/>
      <c r="D1" s="1"/>
    </row>
    <row r="3" spans="1:4" x14ac:dyDescent="0.3">
      <c r="A3" s="3" t="s">
        <v>1</v>
      </c>
      <c r="B3" s="4" t="s">
        <v>2</v>
      </c>
    </row>
    <row r="4" spans="1:4" x14ac:dyDescent="0.3">
      <c r="A4" s="3" t="s">
        <v>3</v>
      </c>
      <c r="B4" s="4" t="s">
        <v>4</v>
      </c>
    </row>
    <row r="5" spans="1:4" x14ac:dyDescent="0.3">
      <c r="A5" s="3" t="s">
        <v>5</v>
      </c>
      <c r="B5" s="4" t="s">
        <v>6</v>
      </c>
    </row>
    <row r="6" spans="1:4" x14ac:dyDescent="0.3">
      <c r="A6" s="3" t="s">
        <v>7</v>
      </c>
      <c r="B6" s="4" t="s">
        <v>8</v>
      </c>
    </row>
    <row r="7" spans="1:4" x14ac:dyDescent="0.3">
      <c r="A7" s="3" t="s">
        <v>9</v>
      </c>
      <c r="B7" s="4" t="s">
        <v>10</v>
      </c>
    </row>
    <row r="8" spans="1:4" x14ac:dyDescent="0.3">
      <c r="A8" s="3" t="s">
        <v>11</v>
      </c>
      <c r="B8" s="4" t="s">
        <v>12</v>
      </c>
    </row>
    <row r="9" spans="1:4" x14ac:dyDescent="0.3">
      <c r="A9" s="3"/>
      <c r="B9" s="4"/>
    </row>
    <row r="10" spans="1:4" x14ac:dyDescent="0.3">
      <c r="A10" s="5" t="s">
        <v>13</v>
      </c>
      <c r="B10" s="6"/>
    </row>
    <row r="11" spans="1:4" x14ac:dyDescent="0.3">
      <c r="A11" s="5" t="s">
        <v>14</v>
      </c>
      <c r="B11" s="6">
        <f>COUNTA('Test Cases'!A:A)-1</f>
        <v>27</v>
      </c>
    </row>
    <row r="12" spans="1:4" x14ac:dyDescent="0.3">
      <c r="A12" s="5" t="s">
        <v>15</v>
      </c>
      <c r="B12" s="6">
        <f>COUNTIF('Test Cases'!H:H,"Pass")</f>
        <v>27</v>
      </c>
    </row>
    <row r="13" spans="1:4" x14ac:dyDescent="0.3">
      <c r="A13" s="5" t="s">
        <v>16</v>
      </c>
      <c r="B13" s="6">
        <f>COUNTIF('Test Cases'!H:H,"Fail")</f>
        <v>0</v>
      </c>
    </row>
    <row r="14" spans="1:4" x14ac:dyDescent="0.3">
      <c r="A14" s="5" t="s">
        <v>17</v>
      </c>
      <c r="B14" s="6">
        <f>COUNTIF('Test Cases'!H:H,"Blocked")</f>
        <v>0</v>
      </c>
    </row>
    <row r="15" spans="1:4" x14ac:dyDescent="0.3">
      <c r="A15" s="5" t="s">
        <v>18</v>
      </c>
      <c r="B15" s="6">
        <f>COUNTIF('Test Cases'!H:H,"N/A")</f>
        <v>0</v>
      </c>
    </row>
    <row r="16" spans="1:4" x14ac:dyDescent="0.3">
      <c r="A16" s="3"/>
      <c r="B16" s="4"/>
    </row>
    <row r="17" spans="1:2" x14ac:dyDescent="0.3">
      <c r="A17" s="3" t="s">
        <v>19</v>
      </c>
      <c r="B17" s="4" t="s">
        <v>20</v>
      </c>
    </row>
    <row r="18" spans="1:2" x14ac:dyDescent="0.3">
      <c r="A18" s="3" t="s">
        <v>21</v>
      </c>
      <c r="B18" s="4" t="s">
        <v>22</v>
      </c>
    </row>
    <row r="19" spans="1:2" x14ac:dyDescent="0.3">
      <c r="A19" s="3" t="s">
        <v>23</v>
      </c>
      <c r="B19" s="4" t="s">
        <v>24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B664-9BFD-4B52-92FA-171E52B2D23F}">
  <dimension ref="A1:J28"/>
  <sheetViews>
    <sheetView tabSelected="1" workbookViewId="0">
      <pane ySplit="1" topLeftCell="A2" activePane="bottomLeft" state="frozenSplit"/>
      <selection pane="bottomLeft"/>
    </sheetView>
  </sheetViews>
  <sheetFormatPr defaultRowHeight="14" x14ac:dyDescent="0.3"/>
  <cols>
    <col min="1" max="1" width="16.58203125" customWidth="1"/>
    <col min="2" max="2" width="18.58203125" customWidth="1"/>
    <col min="3" max="3" width="38.58203125" customWidth="1"/>
    <col min="4" max="4" width="42.58203125" customWidth="1"/>
    <col min="5" max="5" width="44.58203125" customWidth="1"/>
    <col min="6" max="6" width="40.58203125" customWidth="1"/>
    <col min="7" max="7" width="38.58203125" customWidth="1"/>
    <col min="8" max="8" width="12.58203125" customWidth="1"/>
    <col min="9" max="9" width="20.58203125" customWidth="1"/>
    <col min="10" max="10" width="34.58203125" customWidth="1"/>
  </cols>
  <sheetData>
    <row r="1" spans="1:10" ht="24" customHeight="1" x14ac:dyDescent="0.3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23</v>
      </c>
    </row>
    <row r="2" spans="1:10" ht="58" customHeight="1" x14ac:dyDescent="0.3">
      <c r="A2" s="8" t="s">
        <v>34</v>
      </c>
      <c r="B2" s="8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9" t="s">
        <v>15</v>
      </c>
      <c r="I2" s="6"/>
      <c r="J2" s="6" t="s">
        <v>41</v>
      </c>
    </row>
    <row r="3" spans="1:10" ht="58" customHeight="1" x14ac:dyDescent="0.3">
      <c r="A3" s="8" t="s">
        <v>42</v>
      </c>
      <c r="B3" s="8" t="s">
        <v>35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9" t="s">
        <v>15</v>
      </c>
      <c r="I3" s="6"/>
      <c r="J3" s="6" t="s">
        <v>48</v>
      </c>
    </row>
    <row r="4" spans="1:10" ht="58" customHeight="1" x14ac:dyDescent="0.3">
      <c r="A4" s="8" t="s">
        <v>49</v>
      </c>
      <c r="B4" s="8" t="s">
        <v>35</v>
      </c>
      <c r="C4" s="6" t="s">
        <v>50</v>
      </c>
      <c r="D4" s="6" t="s">
        <v>44</v>
      </c>
      <c r="E4" s="6" t="s">
        <v>51</v>
      </c>
      <c r="F4" s="6" t="s">
        <v>52</v>
      </c>
      <c r="G4" s="6" t="s">
        <v>53</v>
      </c>
      <c r="H4" s="9" t="s">
        <v>15</v>
      </c>
      <c r="I4" s="6"/>
      <c r="J4" s="6" t="s">
        <v>54</v>
      </c>
    </row>
    <row r="5" spans="1:10" ht="58" customHeight="1" x14ac:dyDescent="0.3">
      <c r="A5" s="8" t="s">
        <v>55</v>
      </c>
      <c r="B5" s="8" t="s">
        <v>35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9" t="s">
        <v>15</v>
      </c>
      <c r="I5" s="6"/>
      <c r="J5" s="6" t="s">
        <v>61</v>
      </c>
    </row>
    <row r="6" spans="1:10" ht="58" customHeight="1" x14ac:dyDescent="0.3">
      <c r="A6" s="8" t="s">
        <v>62</v>
      </c>
      <c r="B6" s="8" t="s">
        <v>35</v>
      </c>
      <c r="C6" s="6" t="s">
        <v>63</v>
      </c>
      <c r="D6" s="6" t="s">
        <v>44</v>
      </c>
      <c r="E6" s="6" t="s">
        <v>64</v>
      </c>
      <c r="F6" s="6" t="s">
        <v>65</v>
      </c>
      <c r="G6" s="6" t="s">
        <v>66</v>
      </c>
      <c r="H6" s="9" t="s">
        <v>15</v>
      </c>
      <c r="I6" s="6"/>
      <c r="J6" s="6" t="s">
        <v>67</v>
      </c>
    </row>
    <row r="7" spans="1:10" ht="58" customHeight="1" x14ac:dyDescent="0.3">
      <c r="A7" s="8" t="s">
        <v>68</v>
      </c>
      <c r="B7" s="8" t="s">
        <v>35</v>
      </c>
      <c r="C7" s="6" t="s">
        <v>69</v>
      </c>
      <c r="D7" s="6" t="s">
        <v>44</v>
      </c>
      <c r="E7" s="6" t="s">
        <v>70</v>
      </c>
      <c r="F7" s="6" t="s">
        <v>65</v>
      </c>
      <c r="G7" s="6" t="s">
        <v>71</v>
      </c>
      <c r="H7" s="9" t="s">
        <v>15</v>
      </c>
      <c r="I7" s="6"/>
      <c r="J7" s="6" t="s">
        <v>72</v>
      </c>
    </row>
    <row r="8" spans="1:10" ht="58" customHeight="1" x14ac:dyDescent="0.3">
      <c r="A8" s="8" t="s">
        <v>73</v>
      </c>
      <c r="B8" s="8" t="s">
        <v>35</v>
      </c>
      <c r="C8" s="6" t="s">
        <v>74</v>
      </c>
      <c r="D8" s="6" t="s">
        <v>44</v>
      </c>
      <c r="E8" s="6" t="s">
        <v>75</v>
      </c>
      <c r="F8" s="6" t="s">
        <v>76</v>
      </c>
      <c r="G8" s="6" t="s">
        <v>77</v>
      </c>
      <c r="H8" s="9" t="s">
        <v>15</v>
      </c>
      <c r="I8" s="6"/>
      <c r="J8" s="6" t="s">
        <v>78</v>
      </c>
    </row>
    <row r="9" spans="1:10" ht="58" customHeight="1" x14ac:dyDescent="0.3">
      <c r="A9" s="8" t="s">
        <v>79</v>
      </c>
      <c r="B9" s="8" t="s">
        <v>35</v>
      </c>
      <c r="C9" s="6" t="s">
        <v>80</v>
      </c>
      <c r="D9" s="6" t="s">
        <v>81</v>
      </c>
      <c r="E9" s="6" t="s">
        <v>82</v>
      </c>
      <c r="F9" s="6" t="s">
        <v>59</v>
      </c>
      <c r="G9" s="6" t="s">
        <v>83</v>
      </c>
      <c r="H9" s="9" t="s">
        <v>15</v>
      </c>
      <c r="I9" s="6"/>
      <c r="J9" s="6" t="s">
        <v>84</v>
      </c>
    </row>
    <row r="10" spans="1:10" ht="58" customHeight="1" x14ac:dyDescent="0.3">
      <c r="A10" s="8" t="s">
        <v>85</v>
      </c>
      <c r="B10" s="8" t="s">
        <v>35</v>
      </c>
      <c r="C10" s="6" t="s">
        <v>86</v>
      </c>
      <c r="D10" s="6" t="s">
        <v>87</v>
      </c>
      <c r="E10" s="6" t="s">
        <v>88</v>
      </c>
      <c r="F10" s="6" t="s">
        <v>65</v>
      </c>
      <c r="G10" s="6" t="s">
        <v>89</v>
      </c>
      <c r="H10" s="9" t="s">
        <v>15</v>
      </c>
      <c r="I10" s="6"/>
      <c r="J10" s="6" t="s">
        <v>90</v>
      </c>
    </row>
    <row r="11" spans="1:10" ht="58" customHeight="1" x14ac:dyDescent="0.3">
      <c r="A11" s="8" t="s">
        <v>91</v>
      </c>
      <c r="B11" s="8" t="s">
        <v>35</v>
      </c>
      <c r="C11" s="6" t="s">
        <v>92</v>
      </c>
      <c r="D11" s="6" t="s">
        <v>87</v>
      </c>
      <c r="E11" s="6" t="s">
        <v>93</v>
      </c>
      <c r="F11" s="6" t="s">
        <v>65</v>
      </c>
      <c r="G11" s="6" t="s">
        <v>94</v>
      </c>
      <c r="H11" s="9" t="s">
        <v>15</v>
      </c>
      <c r="I11" s="6"/>
      <c r="J11" s="6" t="s">
        <v>95</v>
      </c>
    </row>
    <row r="12" spans="1:10" ht="58" customHeight="1" x14ac:dyDescent="0.3">
      <c r="A12" s="8" t="s">
        <v>96</v>
      </c>
      <c r="B12" s="8" t="s">
        <v>35</v>
      </c>
      <c r="C12" s="6" t="s">
        <v>97</v>
      </c>
      <c r="D12" s="6" t="s">
        <v>87</v>
      </c>
      <c r="E12" s="6" t="s">
        <v>98</v>
      </c>
      <c r="F12" s="6" t="s">
        <v>65</v>
      </c>
      <c r="G12" s="6" t="s">
        <v>99</v>
      </c>
      <c r="H12" s="9" t="s">
        <v>15</v>
      </c>
      <c r="I12" s="6"/>
      <c r="J12" s="6" t="s">
        <v>100</v>
      </c>
    </row>
    <row r="13" spans="1:10" ht="58" customHeight="1" x14ac:dyDescent="0.3">
      <c r="A13" s="8" t="s">
        <v>101</v>
      </c>
      <c r="B13" s="8" t="s">
        <v>102</v>
      </c>
      <c r="C13" s="6" t="s">
        <v>103</v>
      </c>
      <c r="D13" s="6" t="s">
        <v>104</v>
      </c>
      <c r="E13" s="6" t="s">
        <v>105</v>
      </c>
      <c r="F13" s="6" t="s">
        <v>106</v>
      </c>
      <c r="G13" s="6" t="s">
        <v>107</v>
      </c>
      <c r="H13" s="9" t="s">
        <v>15</v>
      </c>
      <c r="I13" s="6"/>
      <c r="J13" s="6" t="s">
        <v>108</v>
      </c>
    </row>
    <row r="14" spans="1:10" ht="58" customHeight="1" x14ac:dyDescent="0.3">
      <c r="A14" s="8" t="s">
        <v>109</v>
      </c>
      <c r="B14" s="8" t="s">
        <v>102</v>
      </c>
      <c r="C14" s="6" t="s">
        <v>110</v>
      </c>
      <c r="D14" s="6" t="s">
        <v>104</v>
      </c>
      <c r="E14" s="6" t="s">
        <v>111</v>
      </c>
      <c r="F14" s="6" t="s">
        <v>112</v>
      </c>
      <c r="G14" s="6" t="s">
        <v>113</v>
      </c>
      <c r="H14" s="9" t="s">
        <v>15</v>
      </c>
      <c r="I14" s="6"/>
      <c r="J14" s="6" t="s">
        <v>114</v>
      </c>
    </row>
    <row r="15" spans="1:10" ht="58" customHeight="1" x14ac:dyDescent="0.3">
      <c r="A15" s="8" t="s">
        <v>115</v>
      </c>
      <c r="B15" s="8" t="s">
        <v>102</v>
      </c>
      <c r="C15" s="6" t="s">
        <v>116</v>
      </c>
      <c r="D15" s="6" t="s">
        <v>104</v>
      </c>
      <c r="E15" s="6" t="s">
        <v>117</v>
      </c>
      <c r="F15" s="6" t="s">
        <v>118</v>
      </c>
      <c r="G15" s="6" t="s">
        <v>119</v>
      </c>
      <c r="H15" s="9" t="s">
        <v>15</v>
      </c>
      <c r="I15" s="6"/>
      <c r="J15" s="6" t="s">
        <v>120</v>
      </c>
    </row>
    <row r="16" spans="1:10" ht="58" customHeight="1" x14ac:dyDescent="0.3">
      <c r="A16" s="8" t="s">
        <v>121</v>
      </c>
      <c r="B16" s="8" t="s">
        <v>102</v>
      </c>
      <c r="C16" s="6" t="s">
        <v>122</v>
      </c>
      <c r="D16" s="6" t="s">
        <v>104</v>
      </c>
      <c r="E16" s="6" t="s">
        <v>123</v>
      </c>
      <c r="F16" s="6" t="s">
        <v>124</v>
      </c>
      <c r="G16" s="6" t="s">
        <v>125</v>
      </c>
      <c r="H16" s="9" t="s">
        <v>15</v>
      </c>
      <c r="I16" s="6"/>
      <c r="J16" s="6" t="s">
        <v>126</v>
      </c>
    </row>
    <row r="17" spans="1:10" ht="58" customHeight="1" x14ac:dyDescent="0.3">
      <c r="A17" s="8" t="s">
        <v>127</v>
      </c>
      <c r="B17" s="8" t="s">
        <v>102</v>
      </c>
      <c r="C17" s="6" t="s">
        <v>128</v>
      </c>
      <c r="D17" s="6" t="s">
        <v>104</v>
      </c>
      <c r="E17" s="6" t="s">
        <v>129</v>
      </c>
      <c r="F17" s="6" t="s">
        <v>130</v>
      </c>
      <c r="G17" s="6" t="s">
        <v>83</v>
      </c>
      <c r="H17" s="9" t="s">
        <v>15</v>
      </c>
      <c r="I17" s="6"/>
      <c r="J17" s="6" t="s">
        <v>131</v>
      </c>
    </row>
    <row r="18" spans="1:10" ht="58" customHeight="1" x14ac:dyDescent="0.3">
      <c r="A18" s="8" t="s">
        <v>132</v>
      </c>
      <c r="B18" s="8" t="s">
        <v>102</v>
      </c>
      <c r="C18" s="6" t="s">
        <v>133</v>
      </c>
      <c r="D18" s="6" t="s">
        <v>104</v>
      </c>
      <c r="E18" s="6" t="s">
        <v>134</v>
      </c>
      <c r="F18" s="6" t="s">
        <v>135</v>
      </c>
      <c r="G18" s="6" t="s">
        <v>136</v>
      </c>
      <c r="H18" s="9" t="s">
        <v>15</v>
      </c>
      <c r="I18" s="6"/>
      <c r="J18" s="6" t="s">
        <v>137</v>
      </c>
    </row>
    <row r="19" spans="1:10" ht="58" customHeight="1" x14ac:dyDescent="0.3">
      <c r="A19" s="8" t="s">
        <v>138</v>
      </c>
      <c r="B19" s="8" t="s">
        <v>102</v>
      </c>
      <c r="C19" s="6" t="s">
        <v>139</v>
      </c>
      <c r="D19" s="6" t="s">
        <v>104</v>
      </c>
      <c r="E19" s="6" t="s">
        <v>140</v>
      </c>
      <c r="F19" s="6" t="s">
        <v>141</v>
      </c>
      <c r="G19" s="6" t="s">
        <v>142</v>
      </c>
      <c r="H19" s="9" t="s">
        <v>15</v>
      </c>
      <c r="I19" s="6"/>
      <c r="J19" s="6" t="s">
        <v>143</v>
      </c>
    </row>
    <row r="20" spans="1:10" ht="58" customHeight="1" x14ac:dyDescent="0.3">
      <c r="A20" s="8" t="s">
        <v>144</v>
      </c>
      <c r="B20" s="8" t="s">
        <v>102</v>
      </c>
      <c r="C20" s="6" t="s">
        <v>145</v>
      </c>
      <c r="D20" s="6" t="s">
        <v>104</v>
      </c>
      <c r="E20" s="6" t="s">
        <v>146</v>
      </c>
      <c r="F20" s="6" t="s">
        <v>147</v>
      </c>
      <c r="G20" s="6" t="s">
        <v>148</v>
      </c>
      <c r="H20" s="9" t="s">
        <v>15</v>
      </c>
      <c r="I20" s="6"/>
      <c r="J20" s="6" t="s">
        <v>149</v>
      </c>
    </row>
    <row r="21" spans="1:10" ht="58" customHeight="1" x14ac:dyDescent="0.3">
      <c r="A21" s="8" t="s">
        <v>150</v>
      </c>
      <c r="B21" s="8" t="s">
        <v>102</v>
      </c>
      <c r="C21" s="6" t="s">
        <v>151</v>
      </c>
      <c r="D21" s="6" t="s">
        <v>104</v>
      </c>
      <c r="E21" s="6" t="s">
        <v>152</v>
      </c>
      <c r="F21" s="6" t="s">
        <v>153</v>
      </c>
      <c r="G21" s="6" t="s">
        <v>154</v>
      </c>
      <c r="H21" s="9" t="s">
        <v>15</v>
      </c>
      <c r="I21" s="6"/>
      <c r="J21" s="6" t="s">
        <v>155</v>
      </c>
    </row>
    <row r="22" spans="1:10" ht="58" customHeight="1" x14ac:dyDescent="0.3">
      <c r="A22" s="8" t="s">
        <v>156</v>
      </c>
      <c r="B22" s="8" t="s">
        <v>102</v>
      </c>
      <c r="C22" s="6" t="s">
        <v>157</v>
      </c>
      <c r="D22" s="6" t="s">
        <v>104</v>
      </c>
      <c r="E22" s="6" t="s">
        <v>158</v>
      </c>
      <c r="F22" s="6" t="s">
        <v>159</v>
      </c>
      <c r="G22" s="6" t="s">
        <v>160</v>
      </c>
      <c r="H22" s="9" t="s">
        <v>15</v>
      </c>
      <c r="I22" s="6"/>
      <c r="J22" s="6" t="s">
        <v>161</v>
      </c>
    </row>
    <row r="23" spans="1:10" ht="58" customHeight="1" x14ac:dyDescent="0.3">
      <c r="A23" s="8" t="s">
        <v>162</v>
      </c>
      <c r="B23" s="8" t="s">
        <v>102</v>
      </c>
      <c r="C23" s="6" t="s">
        <v>163</v>
      </c>
      <c r="D23" s="6" t="s">
        <v>164</v>
      </c>
      <c r="E23" s="6" t="s">
        <v>165</v>
      </c>
      <c r="F23" s="6" t="s">
        <v>130</v>
      </c>
      <c r="G23" s="6" t="s">
        <v>83</v>
      </c>
      <c r="H23" s="9" t="s">
        <v>15</v>
      </c>
      <c r="I23" s="6"/>
      <c r="J23" s="6" t="s">
        <v>166</v>
      </c>
    </row>
    <row r="24" spans="1:10" ht="58" customHeight="1" x14ac:dyDescent="0.3">
      <c r="A24" s="8" t="s">
        <v>167</v>
      </c>
      <c r="B24" s="8" t="s">
        <v>102</v>
      </c>
      <c r="C24" s="6" t="s">
        <v>168</v>
      </c>
      <c r="D24" s="6" t="s">
        <v>164</v>
      </c>
      <c r="E24" s="6" t="s">
        <v>169</v>
      </c>
      <c r="F24" s="6" t="s">
        <v>135</v>
      </c>
      <c r="G24" s="6" t="s">
        <v>170</v>
      </c>
      <c r="H24" s="9" t="s">
        <v>15</v>
      </c>
      <c r="I24" s="6"/>
      <c r="J24" s="6" t="s">
        <v>171</v>
      </c>
    </row>
    <row r="25" spans="1:10" ht="58" customHeight="1" x14ac:dyDescent="0.3">
      <c r="A25" s="8" t="s">
        <v>172</v>
      </c>
      <c r="B25" s="8" t="s">
        <v>102</v>
      </c>
      <c r="C25" s="6" t="s">
        <v>173</v>
      </c>
      <c r="D25" s="6" t="s">
        <v>164</v>
      </c>
      <c r="E25" s="6" t="s">
        <v>174</v>
      </c>
      <c r="F25" s="6" t="s">
        <v>141</v>
      </c>
      <c r="G25" s="6" t="s">
        <v>175</v>
      </c>
      <c r="H25" s="9" t="s">
        <v>15</v>
      </c>
      <c r="I25" s="6"/>
      <c r="J25" s="6" t="s">
        <v>176</v>
      </c>
    </row>
    <row r="26" spans="1:10" ht="58" customHeight="1" x14ac:dyDescent="0.3">
      <c r="A26" s="8" t="s">
        <v>177</v>
      </c>
      <c r="B26" s="8" t="s">
        <v>102</v>
      </c>
      <c r="C26" s="6" t="s">
        <v>178</v>
      </c>
      <c r="D26" s="6" t="s">
        <v>164</v>
      </c>
      <c r="E26" s="6" t="s">
        <v>179</v>
      </c>
      <c r="F26" s="6" t="s">
        <v>147</v>
      </c>
      <c r="G26" s="6" t="s">
        <v>180</v>
      </c>
      <c r="H26" s="9" t="s">
        <v>15</v>
      </c>
      <c r="I26" s="6"/>
      <c r="J26" s="6" t="s">
        <v>181</v>
      </c>
    </row>
    <row r="27" spans="1:10" ht="58" customHeight="1" x14ac:dyDescent="0.3">
      <c r="A27" s="8" t="s">
        <v>182</v>
      </c>
      <c r="B27" s="8" t="s">
        <v>102</v>
      </c>
      <c r="C27" s="6" t="s">
        <v>183</v>
      </c>
      <c r="D27" s="6" t="s">
        <v>164</v>
      </c>
      <c r="E27" s="6" t="s">
        <v>184</v>
      </c>
      <c r="F27" s="6" t="s">
        <v>153</v>
      </c>
      <c r="G27" s="6" t="s">
        <v>185</v>
      </c>
      <c r="H27" s="9" t="s">
        <v>15</v>
      </c>
      <c r="I27" s="6"/>
      <c r="J27" s="6" t="s">
        <v>186</v>
      </c>
    </row>
    <row r="28" spans="1:10" ht="58" customHeight="1" x14ac:dyDescent="0.3">
      <c r="A28" s="8" t="s">
        <v>187</v>
      </c>
      <c r="B28" s="8" t="s">
        <v>102</v>
      </c>
      <c r="C28" s="6" t="s">
        <v>188</v>
      </c>
      <c r="D28" s="6" t="s">
        <v>164</v>
      </c>
      <c r="E28" s="6" t="s">
        <v>189</v>
      </c>
      <c r="F28" s="6" t="s">
        <v>159</v>
      </c>
      <c r="G28" s="6" t="s">
        <v>160</v>
      </c>
      <c r="H28" s="9" t="s">
        <v>15</v>
      </c>
      <c r="I28" s="6"/>
      <c r="J28" s="6" t="s">
        <v>190</v>
      </c>
    </row>
  </sheetData>
  <autoFilter ref="A1:J28" xr:uid="{F200B664-9BFD-4B52-92FA-171E52B2D23F}"/>
  <dataValidations count="1">
    <dataValidation type="list" allowBlank="1" showInputMessage="1" showErrorMessage="1" sqref="H2:H28" xr:uid="{EEEBEE8C-2EBA-4675-86B8-932E3940F3F3}">
      <formula1>"Pass,Fail,Blocked,N/A"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 Huy</dc:creator>
  <cp:lastModifiedBy>Pen Huy</cp:lastModifiedBy>
  <dcterms:created xsi:type="dcterms:W3CDTF">2026-03-08T16:38:16Z</dcterms:created>
  <dcterms:modified xsi:type="dcterms:W3CDTF">2026-03-08T16:38:17Z</dcterms:modified>
</cp:coreProperties>
</file>